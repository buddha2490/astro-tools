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carter/Desktop/"/>
    </mc:Choice>
  </mc:AlternateContent>
  <xr:revisionPtr revIDLastSave="0" documentId="13_ncr:1_{CA23284C-FA05-5A4F-B3CE-512F71AEF384}" xr6:coauthVersionLast="47" xr6:coauthVersionMax="47" xr10:uidLastSave="{00000000-0000-0000-0000-000000000000}"/>
  <bookViews>
    <workbookView xWindow="1140" yWindow="760" windowWidth="40740" windowHeight="17180" activeTab="1" xr2:uid="{336B9D17-F78D-6E40-BDAF-17DAA9A19AB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2" l="1"/>
  <c r="K7" i="2"/>
  <c r="K8" i="2"/>
  <c r="K11" i="2"/>
  <c r="K12" i="2"/>
  <c r="K13" i="2"/>
  <c r="K14" i="2"/>
  <c r="K5" i="2"/>
  <c r="F15" i="2"/>
  <c r="G14" i="2"/>
  <c r="G13" i="2"/>
  <c r="G12" i="2"/>
  <c r="G11" i="2"/>
  <c r="G15" i="2" s="1"/>
  <c r="G9" i="2"/>
  <c r="F9" i="2"/>
  <c r="G8" i="2"/>
  <c r="G7" i="2"/>
  <c r="G6" i="2"/>
  <c r="G5" i="2"/>
  <c r="G9" i="1"/>
  <c r="G15" i="1"/>
  <c r="G11" i="1"/>
  <c r="G5" i="1"/>
  <c r="G13" i="1"/>
  <c r="G14" i="1"/>
  <c r="G12" i="1"/>
  <c r="G7" i="1"/>
  <c r="G8" i="1"/>
  <c r="G6" i="1"/>
  <c r="K5" i="1"/>
  <c r="K6" i="1"/>
  <c r="K7" i="1"/>
  <c r="K8" i="1"/>
  <c r="K12" i="1"/>
  <c r="K13" i="1"/>
  <c r="K14" i="1"/>
  <c r="F9" i="1"/>
  <c r="F15" i="1"/>
  <c r="K11" i="1"/>
</calcChain>
</file>

<file path=xl/sharedStrings.xml><?xml version="1.0" encoding="utf-8"?>
<sst xmlns="http://schemas.openxmlformats.org/spreadsheetml/2006/main" count="102" uniqueCount="38">
  <si>
    <t>M16</t>
  </si>
  <si>
    <t>L</t>
  </si>
  <si>
    <t>R</t>
  </si>
  <si>
    <t>G</t>
  </si>
  <si>
    <t>B</t>
  </si>
  <si>
    <t>Markarians Chain</t>
  </si>
  <si>
    <t>Total Nights</t>
  </si>
  <si>
    <t>Exposure</t>
  </si>
  <si>
    <t>Total subs</t>
  </si>
  <si>
    <t>Exposure Information</t>
  </si>
  <si>
    <t>Statistics</t>
  </si>
  <si>
    <t>FWHM</t>
  </si>
  <si>
    <t>Eccentricity</t>
  </si>
  <si>
    <t>avgDev</t>
  </si>
  <si>
    <t>M AD</t>
  </si>
  <si>
    <t>Definitions</t>
  </si>
  <si>
    <t>avgDev is the mean absolute deviation</t>
  </si>
  <si>
    <t>MAD</t>
  </si>
  <si>
    <t>avgDev / MAD</t>
  </si>
  <si>
    <t>This is the ratio of signal above the noise value</t>
  </si>
  <si>
    <t>Median absolute deviation - THIS IS THE QUANTITY OF NOISE</t>
  </si>
  <si>
    <t>FWHM Eccentricity</t>
  </si>
  <si>
    <t>the diameter of the median star at its half-peak brightness.  Arcseconds = FWHM * pixelscale</t>
  </si>
  <si>
    <t>Shape of the star, 0 = perfect, 1 = line.</t>
  </si>
  <si>
    <t>Star Support</t>
  </si>
  <si>
    <t>Number of stars - direct measure of depth of integration</t>
  </si>
  <si>
    <t>Noise Analysis - starry</t>
  </si>
  <si>
    <t>Noise</t>
  </si>
  <si>
    <t>Count (%)</t>
  </si>
  <si>
    <t>Noise Analysis - starless</t>
  </si>
  <si>
    <t>MAD FWHM</t>
  </si>
  <si>
    <t>MAD Eccentricity</t>
  </si>
  <si>
    <t>Deviation across the field - look to see if more subs bring this down, measure of the integration algorithm</t>
  </si>
  <si>
    <t>Total Minutes</t>
  </si>
  <si>
    <r>
      <t xml:space="preserve">Background.  </t>
    </r>
    <r>
      <rPr>
        <sz val="12"/>
        <color theme="1"/>
        <rFont val="Aptos Narrow"/>
        <scheme val="minor"/>
      </rPr>
      <t>I take 30s RGB and 60s Luminance subs.  For a 20-hour integration this is &gt;2000 subs.  I am trying to figure out data management, so I would use subFrameSelector on each nights, keep the best 80%, and keep just the WBPP-masterLights from each night with the idea that I could keep these for archival and use them later.  Claude told me this was a bad idea and suggested an analysis to test.  These are the results of the test.  Only testing my shots from 4 nights imaging at Starfront Observatories.</t>
    </r>
  </si>
  <si>
    <r>
      <t xml:space="preserve">Table 1.  </t>
    </r>
    <r>
      <rPr>
        <sz val="12"/>
        <color theme="1"/>
        <rFont val="Aptos Narrow"/>
        <scheme val="minor"/>
      </rPr>
      <t>Each night subs have been prepared with SubframeSelector, kept the op 75-80% and stacked using the "best" WBPP default settings.  This produced a master light for each filter/night.  These final nightly stacks were then integrated in WBPP, and the statistics generated on each stack.</t>
    </r>
  </si>
  <si>
    <r>
      <t xml:space="preserve">Methods: </t>
    </r>
    <r>
      <rPr>
        <sz val="12"/>
        <color theme="1"/>
        <rFont val="Aptos Narrow"/>
        <scheme val="minor"/>
      </rPr>
      <t>I have four nights of data with 9.5 hours of LRGB integration.  On the raw stack, I ran the FWHMEccentricity to get starshape, Statistics to get the avDev and MAD, and the scripts-noise analysis on both the starry and starless versions of the image.</t>
    </r>
    <r>
      <rPr>
        <b/>
        <sz val="12"/>
        <color theme="1"/>
        <rFont val="Aptos Narrow"/>
        <scheme val="minor"/>
      </rPr>
      <t xml:space="preserve"> The A/B test</t>
    </r>
    <r>
      <rPr>
        <sz val="12"/>
        <color theme="1"/>
        <rFont val="Aptos Narrow"/>
        <scheme val="minor"/>
      </rPr>
      <t>:  A = integrate  the individual nightly masterLights.  B = Stack all subs in a single WBPP run.</t>
    </r>
  </si>
  <si>
    <r>
      <t xml:space="preserve">Table 2.  </t>
    </r>
    <r>
      <rPr>
        <sz val="12"/>
        <color theme="1"/>
        <rFont val="Aptos Narrow"/>
        <scheme val="minor"/>
      </rPr>
      <t>Each night subs have been prepared with SubframeSelector, kept the op 75-80% and stacked all nights together using the "best" WBPP default settings.  These produced single masterLights from all nights combined.  The hypothesis from Claude is that this will inprove the images ~15%.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</si>
</sst>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78E0-C4A6-3B4E-A74F-D490AD53A45E}">
  <dimension ref="A1:W39"/>
  <sheetViews>
    <sheetView workbookViewId="0">
      <selection sqref="A1:XFD1048576"/>
    </sheetView>
  </sheetViews>
  <sheetFormatPr baseColWidth="10" defaultRowHeight="16" x14ac:dyDescent="0.2"/>
  <cols>
    <col min="1" max="1" width="3.1640625" customWidth="1"/>
    <col min="2" max="2" width="13.33203125" customWidth="1"/>
    <col min="3" max="3" width="7.5" customWidth="1"/>
    <col min="4" max="7" width="10.83203125" style="1"/>
    <col min="8" max="8" width="2" style="1" customWidth="1"/>
    <col min="9" max="10" width="10.83203125" style="1"/>
    <col min="11" max="11" width="13" style="6" customWidth="1"/>
    <col min="12" max="12" width="1.6640625" style="1" customWidth="1"/>
    <col min="13" max="16" width="13.33203125" style="1" customWidth="1"/>
    <col min="17" max="17" width="10.83203125" style="1"/>
    <col min="18" max="18" width="1.6640625" style="1" customWidth="1"/>
    <col min="19" max="20" width="10.83203125" style="1"/>
    <col min="21" max="21" width="1.83203125" style="1" customWidth="1"/>
    <col min="22" max="23" width="10.83203125" style="1"/>
    <col min="24" max="24" width="2.5" customWidth="1"/>
  </cols>
  <sheetData>
    <row r="1" spans="1:23" ht="40" customHeight="1" x14ac:dyDescent="0.2">
      <c r="A1" s="2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">
      <c r="A2" s="4"/>
      <c r="D2" s="8" t="s">
        <v>9</v>
      </c>
      <c r="E2" s="8"/>
      <c r="F2" s="8"/>
      <c r="G2" s="8"/>
      <c r="I2" s="8" t="s">
        <v>10</v>
      </c>
      <c r="J2" s="8"/>
      <c r="K2" s="8"/>
      <c r="M2" s="8" t="s">
        <v>21</v>
      </c>
      <c r="N2" s="8"/>
      <c r="O2" s="8"/>
      <c r="P2" s="8"/>
      <c r="Q2" s="8"/>
      <c r="S2" s="8" t="s">
        <v>26</v>
      </c>
      <c r="T2" s="8"/>
      <c r="V2" s="8" t="s">
        <v>29</v>
      </c>
      <c r="W2" s="8"/>
    </row>
    <row r="3" spans="1:23" x14ac:dyDescent="0.2">
      <c r="A3" s="4"/>
      <c r="D3" s="9" t="s">
        <v>6</v>
      </c>
      <c r="E3" s="9" t="s">
        <v>7</v>
      </c>
      <c r="F3" s="9" t="s">
        <v>8</v>
      </c>
      <c r="G3" s="9" t="s">
        <v>33</v>
      </c>
      <c r="I3" s="9" t="s">
        <v>13</v>
      </c>
      <c r="J3" s="9" t="s">
        <v>14</v>
      </c>
      <c r="K3" s="10" t="s">
        <v>18</v>
      </c>
      <c r="M3" s="11" t="s">
        <v>11</v>
      </c>
      <c r="N3" s="11" t="s">
        <v>12</v>
      </c>
      <c r="O3" s="11" t="s">
        <v>30</v>
      </c>
      <c r="P3" s="11" t="s">
        <v>31</v>
      </c>
      <c r="Q3" s="11" t="s">
        <v>24</v>
      </c>
      <c r="S3" s="9" t="s">
        <v>27</v>
      </c>
      <c r="T3" s="9" t="s">
        <v>28</v>
      </c>
      <c r="V3" s="9" t="s">
        <v>27</v>
      </c>
      <c r="W3" s="9" t="s">
        <v>28</v>
      </c>
    </row>
    <row r="4" spans="1:23" x14ac:dyDescent="0.2">
      <c r="B4" s="4" t="s">
        <v>0</v>
      </c>
    </row>
    <row r="5" spans="1:23" x14ac:dyDescent="0.2">
      <c r="C5" t="s">
        <v>1</v>
      </c>
      <c r="D5" s="1">
        <v>4</v>
      </c>
      <c r="E5" s="1">
        <v>60</v>
      </c>
      <c r="F5" s="1">
        <v>238</v>
      </c>
      <c r="G5" s="1">
        <f>E5*F5/60</f>
        <v>238</v>
      </c>
      <c r="I5" s="1">
        <v>69.114999999999995</v>
      </c>
      <c r="J5" s="1">
        <v>11.077999999999999</v>
      </c>
      <c r="K5" s="6">
        <f t="shared" ref="K5:K8" si="0">I5/J5</f>
        <v>6.2389420473009567</v>
      </c>
      <c r="M5" s="1">
        <v>2.944</v>
      </c>
      <c r="N5" s="1">
        <v>0.49559999999999998</v>
      </c>
      <c r="O5" s="1">
        <v>0.20930000000000001</v>
      </c>
      <c r="P5" s="1">
        <v>0.1119</v>
      </c>
      <c r="Q5" s="1">
        <v>19547</v>
      </c>
      <c r="S5" s="7">
        <v>0.2104</v>
      </c>
      <c r="T5" s="1">
        <v>1.37</v>
      </c>
      <c r="V5" s="7">
        <v>0.27910000000000001</v>
      </c>
      <c r="W5" s="1">
        <v>67.13</v>
      </c>
    </row>
    <row r="6" spans="1:23" x14ac:dyDescent="0.2">
      <c r="C6" t="s">
        <v>2</v>
      </c>
      <c r="D6" s="1">
        <v>4</v>
      </c>
      <c r="E6" s="1">
        <v>30</v>
      </c>
      <c r="F6" s="1">
        <v>205</v>
      </c>
      <c r="G6" s="1">
        <f>E6*F6/60</f>
        <v>102.5</v>
      </c>
      <c r="I6" s="1">
        <v>17.369</v>
      </c>
      <c r="J6" s="1">
        <v>3.169</v>
      </c>
      <c r="K6" s="6">
        <f t="shared" si="0"/>
        <v>5.4809088040391289</v>
      </c>
      <c r="M6" s="1">
        <v>2.738</v>
      </c>
      <c r="N6" s="1">
        <v>0.49659999999999999</v>
      </c>
      <c r="O6" s="1">
        <v>0.1741</v>
      </c>
      <c r="P6" s="1">
        <v>9.3700000000000006E-2</v>
      </c>
      <c r="Q6" s="1">
        <v>19597</v>
      </c>
      <c r="S6" s="7">
        <v>3.5270000000000003E-2</v>
      </c>
      <c r="T6" s="1">
        <v>3.29</v>
      </c>
      <c r="V6" s="7">
        <v>0.46189999999999998</v>
      </c>
      <c r="W6" s="1">
        <v>76.06</v>
      </c>
    </row>
    <row r="7" spans="1:23" x14ac:dyDescent="0.2">
      <c r="C7" t="s">
        <v>3</v>
      </c>
      <c r="D7" s="1">
        <v>4</v>
      </c>
      <c r="E7" s="1">
        <v>30</v>
      </c>
      <c r="F7" s="1">
        <v>211</v>
      </c>
      <c r="G7" s="1">
        <f t="shared" ref="G7:G8" si="1">E7*F7/60</f>
        <v>105.5</v>
      </c>
      <c r="I7" s="1">
        <v>10.023999999999999</v>
      </c>
      <c r="J7" s="1">
        <v>1.3959999999999999</v>
      </c>
      <c r="K7" s="6">
        <f t="shared" si="0"/>
        <v>7.1805157593123203</v>
      </c>
      <c r="M7" s="1">
        <v>2.9380000000000002</v>
      </c>
      <c r="N7" s="1">
        <v>0.56589999999999996</v>
      </c>
      <c r="O7" s="1">
        <v>0.18990000000000001</v>
      </c>
      <c r="P7" s="1">
        <v>9.0920000000000001E-2</v>
      </c>
      <c r="Q7" s="1">
        <v>19586</v>
      </c>
      <c r="S7" s="7">
        <v>0.68179999999999996</v>
      </c>
      <c r="T7" s="1">
        <v>9.27</v>
      </c>
      <c r="V7" s="7">
        <v>0.85</v>
      </c>
      <c r="W7" s="1">
        <v>91.99</v>
      </c>
    </row>
    <row r="8" spans="1:23" x14ac:dyDescent="0.2">
      <c r="C8" t="s">
        <v>4</v>
      </c>
      <c r="D8" s="1">
        <v>4</v>
      </c>
      <c r="E8" s="1">
        <v>30</v>
      </c>
      <c r="F8" s="1">
        <v>202</v>
      </c>
      <c r="G8" s="1">
        <f t="shared" si="1"/>
        <v>101</v>
      </c>
      <c r="I8" s="1">
        <v>10.278</v>
      </c>
      <c r="J8" s="1">
        <v>1.4710000000000001</v>
      </c>
      <c r="K8" s="6">
        <f t="shared" si="0"/>
        <v>6.9870836165873556</v>
      </c>
      <c r="M8" s="1">
        <v>3.3290000000000002</v>
      </c>
      <c r="N8" s="1">
        <v>0.5302</v>
      </c>
      <c r="O8" s="1">
        <v>0.18759999999999999</v>
      </c>
      <c r="P8" s="1">
        <v>0.1106</v>
      </c>
      <c r="Q8" s="1">
        <v>19577</v>
      </c>
      <c r="S8" s="7">
        <v>0.63290000000000002</v>
      </c>
      <c r="T8" s="1">
        <v>11.89</v>
      </c>
      <c r="V8" s="7">
        <v>0.77859999999999996</v>
      </c>
      <c r="W8" s="1">
        <v>89.79</v>
      </c>
    </row>
    <row r="9" spans="1:23" x14ac:dyDescent="0.2">
      <c r="F9" s="5">
        <f>SUM(F5:F8)</f>
        <v>856</v>
      </c>
      <c r="G9" s="5">
        <f>SUM(G5:G8)</f>
        <v>547</v>
      </c>
    </row>
    <row r="10" spans="1:23" x14ac:dyDescent="0.2">
      <c r="B10" s="4" t="s">
        <v>5</v>
      </c>
    </row>
    <row r="11" spans="1:23" x14ac:dyDescent="0.2">
      <c r="C11" t="s">
        <v>1</v>
      </c>
      <c r="D11" s="1">
        <v>4</v>
      </c>
      <c r="E11" s="1">
        <v>60</v>
      </c>
      <c r="F11" s="1">
        <v>270</v>
      </c>
      <c r="G11" s="1">
        <f>E11*F11/60</f>
        <v>270</v>
      </c>
      <c r="I11" s="1">
        <v>9.4870000000000001</v>
      </c>
      <c r="J11" s="1">
        <v>1.8939999999999999</v>
      </c>
      <c r="K11" s="6">
        <f>I11/J11</f>
        <v>5.0089757127771914</v>
      </c>
      <c r="M11" s="1">
        <v>2.7490000000000001</v>
      </c>
      <c r="N11" s="1">
        <v>0.48930000000000001</v>
      </c>
      <c r="O11" s="1">
        <v>0.46800000000000003</v>
      </c>
      <c r="P11" s="1">
        <v>0.11310000000000001</v>
      </c>
      <c r="Q11" s="1">
        <v>7806</v>
      </c>
      <c r="S11" s="7">
        <v>0.81799999999999995</v>
      </c>
      <c r="T11" s="1">
        <v>50.07</v>
      </c>
      <c r="V11" s="7">
        <v>0.8871</v>
      </c>
      <c r="W11" s="1">
        <v>91.25</v>
      </c>
    </row>
    <row r="12" spans="1:23" ht="16" customHeight="1" x14ac:dyDescent="0.2">
      <c r="C12" t="s">
        <v>2</v>
      </c>
      <c r="D12" s="1">
        <v>4</v>
      </c>
      <c r="E12" s="1">
        <v>30</v>
      </c>
      <c r="F12" s="1">
        <v>203</v>
      </c>
      <c r="G12" s="1">
        <f>E12*F12/60</f>
        <v>101.5</v>
      </c>
      <c r="I12" s="1">
        <v>2.536</v>
      </c>
      <c r="J12" s="1">
        <v>0.879</v>
      </c>
      <c r="K12" s="6">
        <f t="shared" ref="K12:K14" si="2">I12/J12</f>
        <v>2.8850967007963595</v>
      </c>
      <c r="M12" s="1">
        <v>2.4460000000000002</v>
      </c>
      <c r="N12" s="1">
        <v>0.4783</v>
      </c>
      <c r="O12" s="1">
        <v>0.39269999999999999</v>
      </c>
      <c r="P12" s="1">
        <v>9.5810000000000006E-2</v>
      </c>
      <c r="Q12" s="1">
        <v>4336</v>
      </c>
      <c r="S12" s="1">
        <v>1.022</v>
      </c>
      <c r="T12" s="1">
        <v>69.959999999999994</v>
      </c>
      <c r="V12" s="1">
        <v>1.07</v>
      </c>
      <c r="W12" s="1">
        <v>93.42</v>
      </c>
    </row>
    <row r="13" spans="1:23" x14ac:dyDescent="0.2">
      <c r="C13" t="s">
        <v>3</v>
      </c>
      <c r="D13" s="1">
        <v>4</v>
      </c>
      <c r="E13" s="1">
        <v>30</v>
      </c>
      <c r="F13" s="1">
        <v>193</v>
      </c>
      <c r="G13" s="1">
        <f t="shared" ref="G13:G14" si="3">E13*F13/60</f>
        <v>96.5</v>
      </c>
      <c r="I13" s="1">
        <v>2.2949999999999999</v>
      </c>
      <c r="J13" s="1">
        <v>0.9</v>
      </c>
      <c r="K13" s="6">
        <f t="shared" si="2"/>
        <v>2.5499999999999998</v>
      </c>
      <c r="M13" s="1">
        <v>2.3580000000000001</v>
      </c>
      <c r="N13" s="1">
        <v>0.43120000000000003</v>
      </c>
      <c r="O13" s="1">
        <v>0.31669999999999998</v>
      </c>
      <c r="P13" s="1">
        <v>9.8650000000000002E-2</v>
      </c>
      <c r="Q13" s="1">
        <v>3560</v>
      </c>
      <c r="S13" s="1">
        <v>1.0640000000000001</v>
      </c>
      <c r="T13" s="1">
        <v>75.459999999999994</v>
      </c>
      <c r="V13" s="1">
        <v>1.0980000000000001</v>
      </c>
      <c r="W13" s="1">
        <v>93.91</v>
      </c>
    </row>
    <row r="14" spans="1:23" x14ac:dyDescent="0.2">
      <c r="C14" t="s">
        <v>4</v>
      </c>
      <c r="D14" s="1">
        <v>4</v>
      </c>
      <c r="E14" s="1">
        <v>30</v>
      </c>
      <c r="F14" s="1">
        <v>203</v>
      </c>
      <c r="G14" s="1">
        <f t="shared" si="3"/>
        <v>101.5</v>
      </c>
      <c r="I14" s="1">
        <v>2.34</v>
      </c>
      <c r="J14" s="1">
        <v>0.80100000000000005</v>
      </c>
      <c r="K14" s="6">
        <f t="shared" si="2"/>
        <v>2.9213483146067412</v>
      </c>
      <c r="M14" s="1">
        <v>2.5950000000000002</v>
      </c>
      <c r="N14" s="1">
        <v>0.44879999999999998</v>
      </c>
      <c r="O14" s="1">
        <v>0.35949999999999999</v>
      </c>
      <c r="P14" s="1">
        <v>0.1125</v>
      </c>
      <c r="Q14" s="1">
        <v>3457</v>
      </c>
      <c r="S14" s="1">
        <v>1.048</v>
      </c>
      <c r="T14" s="1">
        <v>73.989999999999995</v>
      </c>
      <c r="V14" s="1">
        <v>1.085</v>
      </c>
      <c r="W14" s="1">
        <v>93.34</v>
      </c>
    </row>
    <row r="15" spans="1:23" x14ac:dyDescent="0.2">
      <c r="A15" s="12"/>
      <c r="B15" s="12"/>
      <c r="C15" s="12"/>
      <c r="D15" s="13"/>
      <c r="E15" s="13"/>
      <c r="F15" s="11">
        <f>SUM(F11:F14)</f>
        <v>869</v>
      </c>
      <c r="G15" s="11">
        <f>SUM(G11:G14)</f>
        <v>569.5</v>
      </c>
      <c r="H15" s="13"/>
      <c r="I15" s="13"/>
      <c r="J15" s="13"/>
      <c r="K15" s="14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20" spans="1:17" x14ac:dyDescent="0.2">
      <c r="A20" s="3" t="s">
        <v>34</v>
      </c>
      <c r="B20" s="3"/>
      <c r="C20" s="3"/>
      <c r="D20" s="3"/>
      <c r="E20" s="3"/>
      <c r="F20" s="3"/>
      <c r="G20" s="3"/>
      <c r="H20" s="3"/>
      <c r="J20" s="3" t="s">
        <v>36</v>
      </c>
      <c r="K20" s="3"/>
      <c r="L20" s="3"/>
      <c r="M20" s="3"/>
      <c r="N20" s="3"/>
      <c r="O20" s="3"/>
      <c r="P20" s="3"/>
      <c r="Q20" s="3"/>
    </row>
    <row r="21" spans="1:17" x14ac:dyDescent="0.2">
      <c r="A21" s="3"/>
      <c r="B21" s="3"/>
      <c r="C21" s="3"/>
      <c r="D21" s="3"/>
      <c r="E21" s="3"/>
      <c r="F21" s="3"/>
      <c r="G21" s="3"/>
      <c r="H21" s="3"/>
      <c r="J21" s="3"/>
      <c r="K21" s="3"/>
      <c r="L21" s="3"/>
      <c r="M21" s="3"/>
      <c r="N21" s="3"/>
      <c r="O21" s="3"/>
      <c r="P21" s="3"/>
      <c r="Q21" s="3"/>
    </row>
    <row r="22" spans="1:17" x14ac:dyDescent="0.2">
      <c r="A22" s="3"/>
      <c r="B22" s="3"/>
      <c r="C22" s="3"/>
      <c r="D22" s="3"/>
      <c r="E22" s="3"/>
      <c r="F22" s="3"/>
      <c r="G22" s="3"/>
      <c r="H22" s="3"/>
      <c r="J22" s="3"/>
      <c r="K22" s="3"/>
      <c r="L22" s="3"/>
      <c r="M22" s="3"/>
      <c r="N22" s="3"/>
      <c r="O22" s="3"/>
      <c r="P22" s="3"/>
      <c r="Q22" s="3"/>
    </row>
    <row r="23" spans="1:17" x14ac:dyDescent="0.2">
      <c r="A23" s="3"/>
      <c r="B23" s="3"/>
      <c r="C23" s="3"/>
      <c r="D23" s="3"/>
      <c r="E23" s="3"/>
      <c r="F23" s="3"/>
      <c r="G23" s="3"/>
      <c r="H23" s="3"/>
      <c r="J23" s="3"/>
      <c r="K23" s="3"/>
      <c r="L23" s="3"/>
      <c r="M23" s="3"/>
      <c r="N23" s="3"/>
      <c r="O23" s="3"/>
      <c r="P23" s="3"/>
      <c r="Q23" s="3"/>
    </row>
    <row r="24" spans="1:17" x14ac:dyDescent="0.2">
      <c r="A24" s="3"/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Q24" s="3"/>
    </row>
    <row r="25" spans="1:17" x14ac:dyDescent="0.2">
      <c r="A25" s="3"/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Q25" s="3"/>
    </row>
    <row r="26" spans="1:17" x14ac:dyDescent="0.2">
      <c r="A26" s="3"/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Q26" s="3"/>
    </row>
    <row r="27" spans="1:17" x14ac:dyDescent="0.2">
      <c r="A27" s="3"/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Q27" s="3"/>
    </row>
    <row r="28" spans="1:17" x14ac:dyDescent="0.2">
      <c r="A28" s="3"/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Q28" s="3"/>
    </row>
    <row r="31" spans="1:17" x14ac:dyDescent="0.2">
      <c r="A31" t="s">
        <v>15</v>
      </c>
    </row>
    <row r="32" spans="1:17" x14ac:dyDescent="0.2">
      <c r="B32" t="s">
        <v>13</v>
      </c>
      <c r="C32" t="s">
        <v>16</v>
      </c>
    </row>
    <row r="33" spans="2:3" x14ac:dyDescent="0.2">
      <c r="B33" t="s">
        <v>17</v>
      </c>
      <c r="C33" t="s">
        <v>20</v>
      </c>
    </row>
    <row r="34" spans="2:3" x14ac:dyDescent="0.2">
      <c r="B34" s="4" t="s">
        <v>18</v>
      </c>
      <c r="C34" s="4" t="s">
        <v>19</v>
      </c>
    </row>
    <row r="35" spans="2:3" x14ac:dyDescent="0.2">
      <c r="B35" t="s">
        <v>11</v>
      </c>
      <c r="C35" t="s">
        <v>22</v>
      </c>
    </row>
    <row r="36" spans="2:3" x14ac:dyDescent="0.2">
      <c r="B36" t="s">
        <v>12</v>
      </c>
      <c r="C36" t="s">
        <v>23</v>
      </c>
    </row>
    <row r="37" spans="2:3" x14ac:dyDescent="0.2">
      <c r="B37" t="s">
        <v>24</v>
      </c>
      <c r="C37" t="s">
        <v>25</v>
      </c>
    </row>
    <row r="38" spans="2:3" x14ac:dyDescent="0.2">
      <c r="B38" t="s">
        <v>30</v>
      </c>
      <c r="C38" t="s">
        <v>32</v>
      </c>
    </row>
    <row r="39" spans="2:3" x14ac:dyDescent="0.2">
      <c r="B39" t="s">
        <v>31</v>
      </c>
      <c r="C39" t="s">
        <v>32</v>
      </c>
    </row>
  </sheetData>
  <mergeCells count="8">
    <mergeCell ref="A1:W1"/>
    <mergeCell ref="D2:G2"/>
    <mergeCell ref="M2:Q2"/>
    <mergeCell ref="A20:H28"/>
    <mergeCell ref="S2:T2"/>
    <mergeCell ref="V2:W2"/>
    <mergeCell ref="I2:K2"/>
    <mergeCell ref="J20:Q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F1A63-F19E-394F-AF7F-7737A20E9053}">
  <dimension ref="A1:W39"/>
  <sheetViews>
    <sheetView tabSelected="1" workbookViewId="0">
      <selection activeCell="K10" sqref="K9:K10"/>
    </sheetView>
  </sheetViews>
  <sheetFormatPr baseColWidth="10" defaultRowHeight="16" x14ac:dyDescent="0.2"/>
  <cols>
    <col min="1" max="1" width="3.1640625" customWidth="1"/>
    <col min="2" max="2" width="13.33203125" customWidth="1"/>
    <col min="3" max="3" width="7.5" customWidth="1"/>
    <col min="4" max="7" width="10.83203125" style="1"/>
    <col min="8" max="8" width="2" style="1" customWidth="1"/>
    <col min="9" max="10" width="10.83203125" style="1"/>
    <col min="11" max="11" width="13" style="6" customWidth="1"/>
    <col min="12" max="12" width="1.6640625" style="1" customWidth="1"/>
    <col min="13" max="16" width="13.33203125" style="1" customWidth="1"/>
    <col min="17" max="17" width="10.83203125" style="1"/>
    <col min="18" max="18" width="1.6640625" style="1" customWidth="1"/>
    <col min="19" max="20" width="10.83203125" style="1"/>
    <col min="21" max="21" width="1.83203125" style="1" customWidth="1"/>
    <col min="22" max="23" width="10.83203125" style="1"/>
    <col min="24" max="24" width="2.5" customWidth="1"/>
  </cols>
  <sheetData>
    <row r="1" spans="1:23" ht="40" customHeight="1" x14ac:dyDescent="0.2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">
      <c r="A2" s="4"/>
      <c r="D2" s="8" t="s">
        <v>9</v>
      </c>
      <c r="E2" s="8"/>
      <c r="F2" s="8"/>
      <c r="G2" s="8"/>
      <c r="I2" s="8" t="s">
        <v>10</v>
      </c>
      <c r="J2" s="8"/>
      <c r="K2" s="8"/>
      <c r="M2" s="8" t="s">
        <v>21</v>
      </c>
      <c r="N2" s="8"/>
      <c r="O2" s="8"/>
      <c r="P2" s="8"/>
      <c r="Q2" s="8"/>
      <c r="S2" s="8" t="s">
        <v>26</v>
      </c>
      <c r="T2" s="8"/>
      <c r="V2" s="8" t="s">
        <v>29</v>
      </c>
      <c r="W2" s="8"/>
    </row>
    <row r="3" spans="1:23" x14ac:dyDescent="0.2">
      <c r="A3" s="4"/>
      <c r="D3" s="9" t="s">
        <v>6</v>
      </c>
      <c r="E3" s="9" t="s">
        <v>7</v>
      </c>
      <c r="F3" s="9" t="s">
        <v>8</v>
      </c>
      <c r="G3" s="9" t="s">
        <v>33</v>
      </c>
      <c r="I3" s="9" t="s">
        <v>13</v>
      </c>
      <c r="J3" s="9" t="s">
        <v>14</v>
      </c>
      <c r="K3" s="10" t="s">
        <v>18</v>
      </c>
      <c r="M3" s="11" t="s">
        <v>11</v>
      </c>
      <c r="N3" s="11" t="s">
        <v>12</v>
      </c>
      <c r="O3" s="11" t="s">
        <v>30</v>
      </c>
      <c r="P3" s="11" t="s">
        <v>31</v>
      </c>
      <c r="Q3" s="11" t="s">
        <v>24</v>
      </c>
      <c r="S3" s="9" t="s">
        <v>27</v>
      </c>
      <c r="T3" s="9" t="s">
        <v>28</v>
      </c>
      <c r="V3" s="9" t="s">
        <v>27</v>
      </c>
      <c r="W3" s="9" t="s">
        <v>28</v>
      </c>
    </row>
    <row r="4" spans="1:23" x14ac:dyDescent="0.2">
      <c r="B4" s="4" t="s">
        <v>0</v>
      </c>
    </row>
    <row r="5" spans="1:23" x14ac:dyDescent="0.2">
      <c r="C5" t="s">
        <v>1</v>
      </c>
      <c r="D5" s="1">
        <v>4</v>
      </c>
      <c r="E5" s="1">
        <v>60</v>
      </c>
      <c r="F5" s="1">
        <v>238</v>
      </c>
      <c r="G5" s="1">
        <f>E5*F5/60</f>
        <v>238</v>
      </c>
      <c r="I5" s="1">
        <v>70.444999999999993</v>
      </c>
      <c r="J5" s="1">
        <v>11.034000000000001</v>
      </c>
      <c r="K5" s="6">
        <f>I5/J5</f>
        <v>6.384357440638027</v>
      </c>
      <c r="M5" s="1">
        <v>2.9609999999999999</v>
      </c>
      <c r="N5" s="1">
        <v>0.48720000000000002</v>
      </c>
      <c r="O5" s="1">
        <v>0.21870000000000001</v>
      </c>
      <c r="P5" s="1">
        <v>0.1104</v>
      </c>
      <c r="Q5" s="1">
        <v>19510</v>
      </c>
      <c r="S5" s="7">
        <v>0.21920000000000001</v>
      </c>
      <c r="T5" s="1">
        <v>1.43</v>
      </c>
      <c r="V5" s="7">
        <v>0.29139999999999999</v>
      </c>
      <c r="W5" s="1">
        <v>67.09</v>
      </c>
    </row>
    <row r="6" spans="1:23" x14ac:dyDescent="0.2">
      <c r="C6" t="s">
        <v>2</v>
      </c>
      <c r="D6" s="1">
        <v>4</v>
      </c>
      <c r="E6" s="1">
        <v>30</v>
      </c>
      <c r="F6" s="1">
        <v>205</v>
      </c>
      <c r="G6" s="1">
        <f>E6*F6/60</f>
        <v>102.5</v>
      </c>
      <c r="I6" s="1">
        <v>18.62</v>
      </c>
      <c r="J6" s="1">
        <v>3.355</v>
      </c>
      <c r="K6" s="6">
        <f t="shared" ref="K6:K14" si="0">I6/J6</f>
        <v>5.5499254843517143</v>
      </c>
      <c r="M6" s="1">
        <v>2.75</v>
      </c>
      <c r="N6" s="1">
        <v>0.48580000000000001</v>
      </c>
      <c r="O6" s="1">
        <v>0.16600000000000001</v>
      </c>
      <c r="P6" s="1">
        <v>9.3060000000000004E-2</v>
      </c>
      <c r="Q6" s="1">
        <v>19603</v>
      </c>
      <c r="S6" s="7">
        <v>0.35630000000000001</v>
      </c>
      <c r="T6" s="1">
        <v>3.34</v>
      </c>
      <c r="V6" s="7">
        <v>0.4662</v>
      </c>
      <c r="W6" s="1">
        <v>76.27</v>
      </c>
    </row>
    <row r="7" spans="1:23" x14ac:dyDescent="0.2">
      <c r="C7" t="s">
        <v>3</v>
      </c>
      <c r="D7" s="1">
        <v>4</v>
      </c>
      <c r="E7" s="1">
        <v>30</v>
      </c>
      <c r="F7" s="1">
        <v>211</v>
      </c>
      <c r="G7" s="1">
        <f t="shared" ref="G7:G8" si="1">E7*F7/60</f>
        <v>105.5</v>
      </c>
      <c r="I7" s="1">
        <v>11.115</v>
      </c>
      <c r="J7" s="1">
        <v>1.53</v>
      </c>
      <c r="K7" s="6">
        <f t="shared" si="0"/>
        <v>7.2647058823529411</v>
      </c>
      <c r="M7" s="1">
        <v>2.9369999999999998</v>
      </c>
      <c r="N7" s="1">
        <v>0.56100000000000005</v>
      </c>
      <c r="O7" s="1">
        <v>0.17799999999999999</v>
      </c>
      <c r="P7" s="1">
        <v>9.0719999999999995E-2</v>
      </c>
      <c r="Q7" s="1">
        <v>19586</v>
      </c>
      <c r="S7" s="7">
        <v>0.68679999999999997</v>
      </c>
      <c r="T7" s="1">
        <v>9.39</v>
      </c>
      <c r="V7" s="7">
        <v>0.85960000000000003</v>
      </c>
      <c r="W7" s="1">
        <v>92.53</v>
      </c>
    </row>
    <row r="8" spans="1:23" x14ac:dyDescent="0.2">
      <c r="C8" t="s">
        <v>4</v>
      </c>
      <c r="D8" s="1">
        <v>4</v>
      </c>
      <c r="E8" s="1">
        <v>30</v>
      </c>
      <c r="F8" s="1">
        <v>202</v>
      </c>
      <c r="G8" s="1">
        <f t="shared" si="1"/>
        <v>101</v>
      </c>
      <c r="I8" s="1">
        <v>11.345000000000001</v>
      </c>
      <c r="J8" s="1">
        <v>1.603</v>
      </c>
      <c r="K8" s="6">
        <f t="shared" si="0"/>
        <v>7.0773549594510294</v>
      </c>
      <c r="M8" s="1">
        <v>3.2429999999999999</v>
      </c>
      <c r="N8" s="1">
        <v>0.52449999999999997</v>
      </c>
      <c r="O8" s="1">
        <v>0.17780000000000001</v>
      </c>
      <c r="P8" s="1">
        <v>0.111</v>
      </c>
      <c r="Q8" s="1">
        <v>19580</v>
      </c>
      <c r="S8" s="7">
        <v>0.64900000000000002</v>
      </c>
      <c r="T8" s="1">
        <v>12.11</v>
      </c>
      <c r="V8" s="7">
        <v>0.79210000000000003</v>
      </c>
      <c r="W8" s="1">
        <v>90.42</v>
      </c>
    </row>
    <row r="9" spans="1:23" x14ac:dyDescent="0.2">
      <c r="F9" s="5">
        <f>SUM(F5:F8)</f>
        <v>856</v>
      </c>
      <c r="G9" s="5">
        <f>SUM(G5:G8)</f>
        <v>547</v>
      </c>
    </row>
    <row r="10" spans="1:23" x14ac:dyDescent="0.2">
      <c r="B10" s="4" t="s">
        <v>5</v>
      </c>
    </row>
    <row r="11" spans="1:23" x14ac:dyDescent="0.2">
      <c r="C11" t="s">
        <v>1</v>
      </c>
      <c r="D11" s="1">
        <v>4</v>
      </c>
      <c r="E11" s="1">
        <v>60</v>
      </c>
      <c r="F11" s="1">
        <v>270</v>
      </c>
      <c r="G11" s="1">
        <f>E11*F11/60</f>
        <v>270</v>
      </c>
      <c r="I11" s="1">
        <v>11.384</v>
      </c>
      <c r="J11" s="1">
        <v>2.2189999999999999</v>
      </c>
      <c r="K11" s="6">
        <f t="shared" si="0"/>
        <v>5.1302388463271749</v>
      </c>
      <c r="M11" s="1">
        <v>2.7210000000000001</v>
      </c>
      <c r="N11" s="1">
        <v>0.49049999999999999</v>
      </c>
      <c r="O11" s="1">
        <v>0.45179999999999998</v>
      </c>
      <c r="P11" s="1">
        <v>0.11210000000000001</v>
      </c>
      <c r="Q11" s="1">
        <v>7573</v>
      </c>
      <c r="S11" s="7">
        <v>0.82669999999999999</v>
      </c>
      <c r="T11" s="1">
        <v>50.48</v>
      </c>
      <c r="V11" s="7">
        <v>0.89200000000000002</v>
      </c>
      <c r="W11" s="1">
        <v>91.59</v>
      </c>
    </row>
    <row r="12" spans="1:23" ht="16" customHeight="1" x14ac:dyDescent="0.2">
      <c r="C12" t="s">
        <v>2</v>
      </c>
      <c r="D12" s="1">
        <v>4</v>
      </c>
      <c r="E12" s="1">
        <v>30</v>
      </c>
      <c r="F12" s="1">
        <v>203</v>
      </c>
      <c r="G12" s="1">
        <f>E12*F12/60</f>
        <v>101.5</v>
      </c>
      <c r="I12" s="1">
        <v>2.9</v>
      </c>
      <c r="J12" s="1">
        <v>0.98399999999999999</v>
      </c>
      <c r="K12" s="6">
        <f t="shared" si="0"/>
        <v>2.9471544715447155</v>
      </c>
      <c r="M12" s="1">
        <v>2.3929999999999998</v>
      </c>
      <c r="N12" s="1">
        <v>0.47639999999999999</v>
      </c>
      <c r="O12" s="1">
        <v>0.35749999999999998</v>
      </c>
      <c r="P12" s="1">
        <v>9.425E-2</v>
      </c>
      <c r="Q12" s="1">
        <v>4175</v>
      </c>
      <c r="S12" s="1">
        <v>1.0289999999999999</v>
      </c>
      <c r="T12" s="1">
        <v>70.77</v>
      </c>
      <c r="V12" s="1">
        <v>1.077</v>
      </c>
      <c r="W12" s="1">
        <v>94.04</v>
      </c>
    </row>
    <row r="13" spans="1:23" x14ac:dyDescent="0.2">
      <c r="C13" t="s">
        <v>3</v>
      </c>
      <c r="D13" s="1">
        <v>4</v>
      </c>
      <c r="E13" s="1">
        <v>30</v>
      </c>
      <c r="F13" s="1">
        <v>193</v>
      </c>
      <c r="G13" s="1">
        <f t="shared" ref="G13:G14" si="2">E13*F13/60</f>
        <v>96.5</v>
      </c>
      <c r="I13" s="1">
        <v>2.468</v>
      </c>
      <c r="J13" s="1">
        <v>0.96699999999999997</v>
      </c>
      <c r="K13" s="6">
        <f t="shared" si="0"/>
        <v>2.5522233712512925</v>
      </c>
      <c r="M13" s="1">
        <v>2.3410000000000002</v>
      </c>
      <c r="N13" s="1">
        <v>0.43330000000000002</v>
      </c>
      <c r="O13" s="1">
        <v>0.32019999999999998</v>
      </c>
      <c r="P13" s="1">
        <v>9.5939999999999998E-2</v>
      </c>
      <c r="Q13" s="1">
        <v>3429</v>
      </c>
      <c r="S13" s="1">
        <v>1.0740000000000001</v>
      </c>
      <c r="T13" s="1">
        <v>76.3</v>
      </c>
      <c r="V13" s="1">
        <v>1.109</v>
      </c>
      <c r="W13" s="1">
        <v>94.51</v>
      </c>
    </row>
    <row r="14" spans="1:23" x14ac:dyDescent="0.2">
      <c r="C14" t="s">
        <v>4</v>
      </c>
      <c r="D14" s="1">
        <v>4</v>
      </c>
      <c r="E14" s="1">
        <v>30</v>
      </c>
      <c r="F14" s="1">
        <v>203</v>
      </c>
      <c r="G14" s="1">
        <f t="shared" si="2"/>
        <v>101.5</v>
      </c>
      <c r="I14" s="1">
        <v>2.56</v>
      </c>
      <c r="J14" s="1">
        <v>0.875</v>
      </c>
      <c r="K14" s="6">
        <f t="shared" si="0"/>
        <v>2.9257142857142857</v>
      </c>
      <c r="M14" s="1">
        <v>2.58</v>
      </c>
      <c r="N14" s="1">
        <v>0.44829999999999998</v>
      </c>
      <c r="O14" s="1">
        <v>0.36070000000000002</v>
      </c>
      <c r="P14" s="1">
        <v>0.1105</v>
      </c>
      <c r="Q14" s="1">
        <v>3342</v>
      </c>
      <c r="S14" s="1">
        <v>1.0589999999999999</v>
      </c>
      <c r="T14" s="1">
        <v>74.88</v>
      </c>
      <c r="V14" s="1">
        <v>1.0960000000000001</v>
      </c>
      <c r="W14" s="1">
        <v>94.09</v>
      </c>
    </row>
    <row r="15" spans="1:23" x14ac:dyDescent="0.2">
      <c r="A15" s="12"/>
      <c r="B15" s="12"/>
      <c r="C15" s="12"/>
      <c r="D15" s="13"/>
      <c r="E15" s="13"/>
      <c r="F15" s="11">
        <f>SUM(F11:F14)</f>
        <v>869</v>
      </c>
      <c r="G15" s="11">
        <f>SUM(G11:G14)</f>
        <v>569.5</v>
      </c>
      <c r="H15" s="13"/>
      <c r="I15" s="13"/>
      <c r="J15" s="13"/>
      <c r="K15" s="14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20" spans="1:17" x14ac:dyDescent="0.2">
      <c r="A20" s="3" t="s">
        <v>34</v>
      </c>
      <c r="B20" s="3"/>
      <c r="C20" s="3"/>
      <c r="D20" s="3"/>
      <c r="E20" s="3"/>
      <c r="F20" s="3"/>
      <c r="G20" s="3"/>
      <c r="H20" s="3"/>
      <c r="J20" s="3" t="s">
        <v>36</v>
      </c>
      <c r="K20" s="3"/>
      <c r="L20" s="3"/>
      <c r="M20" s="3"/>
      <c r="N20" s="3"/>
      <c r="O20" s="3"/>
      <c r="P20" s="3"/>
      <c r="Q20" s="3"/>
    </row>
    <row r="21" spans="1:17" x14ac:dyDescent="0.2">
      <c r="A21" s="3"/>
      <c r="B21" s="3"/>
      <c r="C21" s="3"/>
      <c r="D21" s="3"/>
      <c r="E21" s="3"/>
      <c r="F21" s="3"/>
      <c r="G21" s="3"/>
      <c r="H21" s="3"/>
      <c r="J21" s="3"/>
      <c r="K21" s="3"/>
      <c r="L21" s="3"/>
      <c r="M21" s="3"/>
      <c r="N21" s="3"/>
      <c r="O21" s="3"/>
      <c r="P21" s="3"/>
      <c r="Q21" s="3"/>
    </row>
    <row r="22" spans="1:17" x14ac:dyDescent="0.2">
      <c r="A22" s="3"/>
      <c r="B22" s="3"/>
      <c r="C22" s="3"/>
      <c r="D22" s="3"/>
      <c r="E22" s="3"/>
      <c r="F22" s="3"/>
      <c r="G22" s="3"/>
      <c r="H22" s="3"/>
      <c r="J22" s="3"/>
      <c r="K22" s="3"/>
      <c r="L22" s="3"/>
      <c r="M22" s="3"/>
      <c r="N22" s="3"/>
      <c r="O22" s="3"/>
      <c r="P22" s="3"/>
      <c r="Q22" s="3"/>
    </row>
    <row r="23" spans="1:17" x14ac:dyDescent="0.2">
      <c r="A23" s="3"/>
      <c r="B23" s="3"/>
      <c r="C23" s="3"/>
      <c r="D23" s="3"/>
      <c r="E23" s="3"/>
      <c r="F23" s="3"/>
      <c r="G23" s="3"/>
      <c r="H23" s="3"/>
      <c r="J23" s="3"/>
      <c r="K23" s="3"/>
      <c r="L23" s="3"/>
      <c r="M23" s="3"/>
      <c r="N23" s="3"/>
      <c r="O23" s="3"/>
      <c r="P23" s="3"/>
      <c r="Q23" s="3"/>
    </row>
    <row r="24" spans="1:17" x14ac:dyDescent="0.2">
      <c r="A24" s="3"/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Q24" s="3"/>
    </row>
    <row r="25" spans="1:17" x14ac:dyDescent="0.2">
      <c r="A25" s="3"/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Q25" s="3"/>
    </row>
    <row r="26" spans="1:17" x14ac:dyDescent="0.2">
      <c r="A26" s="3"/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Q26" s="3"/>
    </row>
    <row r="27" spans="1:17" x14ac:dyDescent="0.2">
      <c r="A27" s="3"/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Q27" s="3"/>
    </row>
    <row r="28" spans="1:17" x14ac:dyDescent="0.2">
      <c r="A28" s="3"/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Q28" s="3"/>
    </row>
    <row r="31" spans="1:17" x14ac:dyDescent="0.2">
      <c r="A31" t="s">
        <v>15</v>
      </c>
    </row>
    <row r="32" spans="1:17" x14ac:dyDescent="0.2">
      <c r="B32" t="s">
        <v>13</v>
      </c>
      <c r="C32" t="s">
        <v>16</v>
      </c>
    </row>
    <row r="33" spans="2:3" x14ac:dyDescent="0.2">
      <c r="B33" t="s">
        <v>17</v>
      </c>
      <c r="C33" t="s">
        <v>20</v>
      </c>
    </row>
    <row r="34" spans="2:3" x14ac:dyDescent="0.2">
      <c r="B34" s="4" t="s">
        <v>18</v>
      </c>
      <c r="C34" s="4" t="s">
        <v>19</v>
      </c>
    </row>
    <row r="35" spans="2:3" x14ac:dyDescent="0.2">
      <c r="B35" t="s">
        <v>11</v>
      </c>
      <c r="C35" t="s">
        <v>22</v>
      </c>
    </row>
    <row r="36" spans="2:3" x14ac:dyDescent="0.2">
      <c r="B36" t="s">
        <v>12</v>
      </c>
      <c r="C36" t="s">
        <v>23</v>
      </c>
    </row>
    <row r="37" spans="2:3" x14ac:dyDescent="0.2">
      <c r="B37" t="s">
        <v>24</v>
      </c>
      <c r="C37" t="s">
        <v>25</v>
      </c>
    </row>
    <row r="38" spans="2:3" x14ac:dyDescent="0.2">
      <c r="B38" t="s">
        <v>30</v>
      </c>
      <c r="C38" t="s">
        <v>32</v>
      </c>
    </row>
    <row r="39" spans="2:3" x14ac:dyDescent="0.2">
      <c r="B39" t="s">
        <v>31</v>
      </c>
      <c r="C39" t="s">
        <v>32</v>
      </c>
    </row>
  </sheetData>
  <mergeCells count="8">
    <mergeCell ref="A20:H28"/>
    <mergeCell ref="J20:Q28"/>
    <mergeCell ref="A1:W1"/>
    <mergeCell ref="D2:G2"/>
    <mergeCell ref="I2:K2"/>
    <mergeCell ref="M2:Q2"/>
    <mergeCell ref="S2:T2"/>
    <mergeCell ref="V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Carter</dc:creator>
  <cp:lastModifiedBy>Brian Carter</cp:lastModifiedBy>
  <dcterms:created xsi:type="dcterms:W3CDTF">2026-05-17T14:46:16Z</dcterms:created>
  <dcterms:modified xsi:type="dcterms:W3CDTF">2026-05-17T19:21:35Z</dcterms:modified>
</cp:coreProperties>
</file>